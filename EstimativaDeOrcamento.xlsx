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VERSOS\Cases_Portfolio\Financeiro\EstimativaDeOrcamento\"/>
    </mc:Choice>
  </mc:AlternateContent>
  <xr:revisionPtr revIDLastSave="0" documentId="13_ncr:1_{0E88D305-B958-4F41-B891-D180AAD919C0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2" i="1"/>
</calcChain>
</file>

<file path=xl/sharedStrings.xml><?xml version="1.0" encoding="utf-8"?>
<sst xmlns="http://schemas.openxmlformats.org/spreadsheetml/2006/main" count="206" uniqueCount="30">
  <si>
    <t>Marketing</t>
  </si>
  <si>
    <t>AnoFiscal</t>
  </si>
  <si>
    <t>Quartil</t>
  </si>
  <si>
    <t>Depto</t>
  </si>
  <si>
    <t>Orcamento</t>
  </si>
  <si>
    <t>Previsao</t>
  </si>
  <si>
    <t>Atual</t>
  </si>
  <si>
    <t>Financeiro</t>
  </si>
  <si>
    <t>RH</t>
  </si>
  <si>
    <t>TI</t>
  </si>
  <si>
    <t>Vendas</t>
  </si>
  <si>
    <t>Operacional</t>
  </si>
  <si>
    <t>Categoria</t>
  </si>
  <si>
    <t>Contabilidade e Auditoria</t>
  </si>
  <si>
    <t>Folha e Benefícios</t>
  </si>
  <si>
    <t>Infraestrutura e Software</t>
  </si>
  <si>
    <t>Comissões e Eventos</t>
  </si>
  <si>
    <t>Mídia e Campanhas</t>
  </si>
  <si>
    <t>Logística e Insumos</t>
  </si>
  <si>
    <t>Tipo_Despesa</t>
  </si>
  <si>
    <t>OPEX</t>
  </si>
  <si>
    <t>CAPEX/OPEX</t>
  </si>
  <si>
    <t>Comportamento</t>
  </si>
  <si>
    <t>Fixo</t>
  </si>
  <si>
    <t>Variável</t>
  </si>
  <si>
    <t>VariacaoAbsPrevisao</t>
  </si>
  <si>
    <t>VariacaoPctPrevisao</t>
  </si>
  <si>
    <t>VarianciaOrcamento</t>
  </si>
  <si>
    <t>VariacaoPctOrcamento</t>
  </si>
  <si>
    <t>AtingimentoOrcamento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</si>
</sst>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0" borderId="0" xfId="1" applyNumberFormat="1" applyFont="1"/>
    <xf numFmtId="10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topLeftCell="E1" workbookViewId="0">
      <selection activeCell="L8" sqref="L8"/>
    </sheetView>
  </sheetViews>
  <sheetFormatPr defaultRowHeight="14.5" x14ac:dyDescent="0.35"/>
  <cols>
    <col min="1" max="1" width="9.36328125" bestFit="1" customWidth="1"/>
    <col min="2" max="2" width="10.36328125" bestFit="1" customWidth="1"/>
    <col min="3" max="3" width="23" bestFit="1" customWidth="1"/>
    <col min="4" max="5" width="23" customWidth="1"/>
    <col min="6" max="6" width="7.453125" bestFit="1" customWidth="1"/>
    <col min="7" max="7" width="14" bestFit="1" customWidth="1"/>
    <col min="8" max="9" width="13.7265625" bestFit="1" customWidth="1"/>
    <col min="10" max="10" width="18.36328125" bestFit="1" customWidth="1"/>
    <col min="11" max="11" width="18.54296875" bestFit="1" customWidth="1"/>
    <col min="12" max="12" width="23.7265625" bestFit="1" customWidth="1"/>
    <col min="13" max="13" width="21" bestFit="1" customWidth="1"/>
    <col min="14" max="14" width="18.54296875" bestFit="1" customWidth="1"/>
  </cols>
  <sheetData>
    <row r="1" spans="1:14" x14ac:dyDescent="0.35">
      <c r="A1" s="1" t="s">
        <v>1</v>
      </c>
      <c r="B1" s="1" t="s">
        <v>3</v>
      </c>
      <c r="C1" s="1" t="s">
        <v>12</v>
      </c>
      <c r="D1" s="1" t="s">
        <v>19</v>
      </c>
      <c r="E1" s="1" t="s">
        <v>22</v>
      </c>
      <c r="F1" s="1" t="s">
        <v>2</v>
      </c>
      <c r="G1" s="1" t="s">
        <v>4</v>
      </c>
      <c r="H1" s="1" t="s">
        <v>5</v>
      </c>
      <c r="I1" s="1" t="s">
        <v>6</v>
      </c>
      <c r="J1" s="1" t="s">
        <v>27</v>
      </c>
      <c r="K1" s="1" t="s">
        <v>25</v>
      </c>
      <c r="L1" s="1" t="s">
        <v>29</v>
      </c>
      <c r="M1" s="1" t="s">
        <v>28</v>
      </c>
      <c r="N1" s="1" t="s">
        <v>26</v>
      </c>
    </row>
    <row r="2" spans="1:14" x14ac:dyDescent="0.35">
      <c r="A2">
        <v>2024</v>
      </c>
      <c r="B2" t="s">
        <v>7</v>
      </c>
      <c r="C2" t="s">
        <v>13</v>
      </c>
      <c r="D2" t="s">
        <v>20</v>
      </c>
      <c r="E2" t="s">
        <v>23</v>
      </c>
      <c r="F2">
        <v>1</v>
      </c>
      <c r="G2" s="2">
        <v>41215.19</v>
      </c>
      <c r="H2" s="2">
        <v>39758.93</v>
      </c>
      <c r="I2" s="3">
        <v>37613.910000000003</v>
      </c>
      <c r="J2" s="2">
        <v>-3601.28</v>
      </c>
      <c r="K2" s="2">
        <f>I2 - H2</f>
        <v>-2145.0199999999968</v>
      </c>
      <c r="L2" s="4">
        <f>I2 / G2</f>
        <v>0.91262250641086462</v>
      </c>
      <c r="M2" s="4">
        <f>J2 / G2</f>
        <v>-8.7377493589135463E-2</v>
      </c>
      <c r="N2" s="4">
        <f>(I2 - H2) / H2</f>
        <v>-5.3950647062181924E-2</v>
      </c>
    </row>
    <row r="3" spans="1:14" x14ac:dyDescent="0.35">
      <c r="A3">
        <v>2024</v>
      </c>
      <c r="B3" t="s">
        <v>7</v>
      </c>
      <c r="C3" t="s">
        <v>13</v>
      </c>
      <c r="D3" t="s">
        <v>20</v>
      </c>
      <c r="E3" t="s">
        <v>23</v>
      </c>
      <c r="F3">
        <v>2</v>
      </c>
      <c r="G3" s="2">
        <v>79918.89</v>
      </c>
      <c r="H3" s="2">
        <v>84614.59</v>
      </c>
      <c r="I3" s="3">
        <v>86720.13</v>
      </c>
      <c r="J3" s="2">
        <v>6801.24</v>
      </c>
      <c r="K3" s="2">
        <f t="shared" ref="K3:K49" si="0">I3 - H3</f>
        <v>2105.5400000000081</v>
      </c>
      <c r="L3" s="4">
        <f t="shared" ref="L3:L49" si="1">I3 / G3</f>
        <v>1.0851017825698031</v>
      </c>
      <c r="M3" s="4">
        <f t="shared" ref="M3:M49" si="2">J3 / G3</f>
        <v>8.5101782569802956E-2</v>
      </c>
      <c r="N3" s="4">
        <f t="shared" ref="N3:N49" si="3">(I3 - H3) / H3</f>
        <v>2.4883888227786817E-2</v>
      </c>
    </row>
    <row r="4" spans="1:14" x14ac:dyDescent="0.35">
      <c r="A4">
        <v>2024</v>
      </c>
      <c r="B4" t="s">
        <v>7</v>
      </c>
      <c r="C4" t="s">
        <v>13</v>
      </c>
      <c r="D4" t="s">
        <v>20</v>
      </c>
      <c r="E4" t="s">
        <v>23</v>
      </c>
      <c r="F4">
        <v>3</v>
      </c>
      <c r="G4" s="2">
        <v>92014.18</v>
      </c>
      <c r="H4" s="2">
        <v>100763.08</v>
      </c>
      <c r="I4" s="3">
        <v>105980.31</v>
      </c>
      <c r="J4" s="2">
        <v>13966.13</v>
      </c>
      <c r="K4" s="2">
        <f t="shared" si="0"/>
        <v>5217.2299999999959</v>
      </c>
      <c r="L4" s="4">
        <f t="shared" si="1"/>
        <v>1.1517823665874107</v>
      </c>
      <c r="M4" s="4">
        <f t="shared" si="2"/>
        <v>0.15178236658741076</v>
      </c>
      <c r="N4" s="4">
        <f t="shared" si="3"/>
        <v>5.1777198553279592E-2</v>
      </c>
    </row>
    <row r="5" spans="1:14" x14ac:dyDescent="0.35">
      <c r="A5">
        <v>2024</v>
      </c>
      <c r="B5" t="s">
        <v>7</v>
      </c>
      <c r="C5" t="s">
        <v>13</v>
      </c>
      <c r="D5" t="s">
        <v>20</v>
      </c>
      <c r="E5" t="s">
        <v>23</v>
      </c>
      <c r="F5">
        <v>4</v>
      </c>
      <c r="G5" s="2">
        <v>117680.6</v>
      </c>
      <c r="H5" s="2">
        <v>106162.49</v>
      </c>
      <c r="I5" s="3">
        <v>96071.26</v>
      </c>
      <c r="J5" s="2">
        <v>-21609.34</v>
      </c>
      <c r="K5" s="2">
        <f t="shared" si="0"/>
        <v>-10091.23000000001</v>
      </c>
      <c r="L5" s="4">
        <f t="shared" si="1"/>
        <v>0.81637296206851417</v>
      </c>
      <c r="M5" s="4">
        <f t="shared" si="2"/>
        <v>-0.18362703793148571</v>
      </c>
      <c r="N5" s="4">
        <f t="shared" si="3"/>
        <v>-9.5054571534635354E-2</v>
      </c>
    </row>
    <row r="6" spans="1:14" x14ac:dyDescent="0.35">
      <c r="A6">
        <v>2024</v>
      </c>
      <c r="B6" t="s">
        <v>8</v>
      </c>
      <c r="C6" t="s">
        <v>14</v>
      </c>
      <c r="D6" t="s">
        <v>20</v>
      </c>
      <c r="E6" t="s">
        <v>23</v>
      </c>
      <c r="F6">
        <v>1</v>
      </c>
      <c r="G6" s="2">
        <v>32925.71</v>
      </c>
      <c r="H6" s="2">
        <v>30364.35</v>
      </c>
      <c r="I6" s="3">
        <v>30596.03</v>
      </c>
      <c r="J6" s="2">
        <v>-2329.6799999999998</v>
      </c>
      <c r="K6" s="2">
        <f t="shared" si="0"/>
        <v>231.68000000000029</v>
      </c>
      <c r="L6" s="4">
        <f t="shared" si="1"/>
        <v>0.92924435038758468</v>
      </c>
      <c r="M6" s="4">
        <f t="shared" si="2"/>
        <v>-7.0755649612415344E-2</v>
      </c>
      <c r="N6" s="4">
        <f t="shared" si="3"/>
        <v>7.6300003128669082E-3</v>
      </c>
    </row>
    <row r="7" spans="1:14" x14ac:dyDescent="0.35">
      <c r="A7">
        <v>2024</v>
      </c>
      <c r="B7" t="s">
        <v>8</v>
      </c>
      <c r="C7" t="s">
        <v>14</v>
      </c>
      <c r="D7" t="s">
        <v>20</v>
      </c>
      <c r="E7" t="s">
        <v>23</v>
      </c>
      <c r="F7">
        <v>2</v>
      </c>
      <c r="G7" s="2">
        <v>75074.820000000007</v>
      </c>
      <c r="H7" s="2">
        <v>68249.88</v>
      </c>
      <c r="I7" s="3">
        <v>68953.81</v>
      </c>
      <c r="J7" s="2">
        <v>-6121.01</v>
      </c>
      <c r="K7" s="2">
        <f t="shared" si="0"/>
        <v>703.92999999999302</v>
      </c>
      <c r="L7" s="4">
        <f t="shared" si="1"/>
        <v>0.91846786978643424</v>
      </c>
      <c r="M7" s="4">
        <f t="shared" si="2"/>
        <v>-8.1532130213565604E-2</v>
      </c>
      <c r="N7" s="4">
        <f t="shared" si="3"/>
        <v>1.0314010808517069E-2</v>
      </c>
    </row>
    <row r="8" spans="1:14" x14ac:dyDescent="0.35">
      <c r="A8">
        <v>2024</v>
      </c>
      <c r="B8" t="s">
        <v>8</v>
      </c>
      <c r="C8" t="s">
        <v>14</v>
      </c>
      <c r="D8" t="s">
        <v>20</v>
      </c>
      <c r="E8" t="s">
        <v>23</v>
      </c>
      <c r="F8">
        <v>3</v>
      </c>
      <c r="G8" s="2">
        <v>42503.06</v>
      </c>
      <c r="H8" s="2">
        <v>44444.3</v>
      </c>
      <c r="I8" s="3">
        <v>42652.11</v>
      </c>
      <c r="J8" s="2">
        <v>149.05000000000001</v>
      </c>
      <c r="K8" s="2">
        <f t="shared" si="0"/>
        <v>-1792.1900000000023</v>
      </c>
      <c r="L8" s="4">
        <f t="shared" si="1"/>
        <v>1.0035068063334736</v>
      </c>
      <c r="M8" s="4">
        <f t="shared" si="2"/>
        <v>3.506806333473402E-3</v>
      </c>
      <c r="N8" s="4">
        <f t="shared" si="3"/>
        <v>-4.0324406054319729E-2</v>
      </c>
    </row>
    <row r="9" spans="1:14" x14ac:dyDescent="0.35">
      <c r="A9">
        <v>2024</v>
      </c>
      <c r="B9" t="s">
        <v>8</v>
      </c>
      <c r="C9" t="s">
        <v>14</v>
      </c>
      <c r="D9" t="s">
        <v>20</v>
      </c>
      <c r="E9" t="s">
        <v>23</v>
      </c>
      <c r="F9">
        <v>4</v>
      </c>
      <c r="G9" s="2">
        <v>31047.85</v>
      </c>
      <c r="H9" s="2">
        <v>32495.4</v>
      </c>
      <c r="I9" s="3">
        <v>33408.69</v>
      </c>
      <c r="J9" s="2">
        <v>2360.84</v>
      </c>
      <c r="K9" s="2">
        <f t="shared" si="0"/>
        <v>913.29000000000087</v>
      </c>
      <c r="L9" s="4">
        <f t="shared" si="1"/>
        <v>1.0760387595276324</v>
      </c>
      <c r="M9" s="4">
        <f t="shared" si="2"/>
        <v>7.6038759527632352E-2</v>
      </c>
      <c r="N9" s="4">
        <f t="shared" si="3"/>
        <v>2.8105208737236681E-2</v>
      </c>
    </row>
    <row r="10" spans="1:14" x14ac:dyDescent="0.35">
      <c r="A10">
        <v>2024</v>
      </c>
      <c r="B10" t="s">
        <v>9</v>
      </c>
      <c r="C10" t="s">
        <v>15</v>
      </c>
      <c r="D10" t="s">
        <v>21</v>
      </c>
      <c r="E10" t="s">
        <v>24</v>
      </c>
      <c r="F10">
        <v>1</v>
      </c>
      <c r="G10" s="2">
        <v>26040.63</v>
      </c>
      <c r="H10" s="2">
        <v>24585.53</v>
      </c>
      <c r="I10" s="3">
        <v>22752.02</v>
      </c>
      <c r="J10" s="2">
        <v>-3288.61</v>
      </c>
      <c r="K10" s="2">
        <f t="shared" si="0"/>
        <v>-1833.5099999999984</v>
      </c>
      <c r="L10" s="4">
        <f t="shared" si="1"/>
        <v>0.87371234874117865</v>
      </c>
      <c r="M10" s="4">
        <f t="shared" si="2"/>
        <v>-0.1262876512588213</v>
      </c>
      <c r="N10" s="4">
        <f t="shared" si="3"/>
        <v>-7.4576793748192469E-2</v>
      </c>
    </row>
    <row r="11" spans="1:14" x14ac:dyDescent="0.35">
      <c r="A11">
        <v>2024</v>
      </c>
      <c r="B11" t="s">
        <v>9</v>
      </c>
      <c r="C11" t="s">
        <v>15</v>
      </c>
      <c r="D11" t="s">
        <v>21</v>
      </c>
      <c r="E11" t="s">
        <v>24</v>
      </c>
      <c r="F11">
        <v>2</v>
      </c>
      <c r="G11" s="2">
        <v>125902.24</v>
      </c>
      <c r="H11" s="2">
        <v>121557.94</v>
      </c>
      <c r="I11" s="3">
        <v>119490.08</v>
      </c>
      <c r="J11" s="2">
        <v>-6412.16</v>
      </c>
      <c r="K11" s="2">
        <f t="shared" si="0"/>
        <v>-2067.8600000000006</v>
      </c>
      <c r="L11" s="4">
        <f t="shared" si="1"/>
        <v>0.94907032631031818</v>
      </c>
      <c r="M11" s="4">
        <f t="shared" si="2"/>
        <v>-5.0929673689681772E-2</v>
      </c>
      <c r="N11" s="4">
        <f t="shared" si="3"/>
        <v>-1.7011311642826463E-2</v>
      </c>
    </row>
    <row r="12" spans="1:14" x14ac:dyDescent="0.35">
      <c r="A12">
        <v>2024</v>
      </c>
      <c r="B12" t="s">
        <v>9</v>
      </c>
      <c r="C12" t="s">
        <v>15</v>
      </c>
      <c r="D12" t="s">
        <v>21</v>
      </c>
      <c r="E12" t="s">
        <v>24</v>
      </c>
      <c r="F12">
        <v>3</v>
      </c>
      <c r="G12" s="2">
        <v>100055.73</v>
      </c>
      <c r="H12" s="2">
        <v>92809.65</v>
      </c>
      <c r="I12" s="3">
        <v>94502.07</v>
      </c>
      <c r="J12" s="2">
        <v>-5553.66</v>
      </c>
      <c r="K12" s="2">
        <f t="shared" si="0"/>
        <v>1692.4200000000128</v>
      </c>
      <c r="L12" s="4">
        <f t="shared" si="1"/>
        <v>0.94449433330804755</v>
      </c>
      <c r="M12" s="4">
        <f t="shared" si="2"/>
        <v>-5.5505666691952574E-2</v>
      </c>
      <c r="N12" s="4">
        <f t="shared" si="3"/>
        <v>1.8235388238184422E-2</v>
      </c>
    </row>
    <row r="13" spans="1:14" x14ac:dyDescent="0.35">
      <c r="A13">
        <v>2024</v>
      </c>
      <c r="B13" t="s">
        <v>9</v>
      </c>
      <c r="C13" t="s">
        <v>15</v>
      </c>
      <c r="D13" t="s">
        <v>21</v>
      </c>
      <c r="E13" t="s">
        <v>24</v>
      </c>
      <c r="F13">
        <v>4</v>
      </c>
      <c r="G13" s="2">
        <v>72786.960000000006</v>
      </c>
      <c r="H13" s="2">
        <v>70901.78</v>
      </c>
      <c r="I13" s="3">
        <v>72262.039999999994</v>
      </c>
      <c r="J13" s="2">
        <v>-524.91999999999996</v>
      </c>
      <c r="K13" s="2">
        <f t="shared" si="0"/>
        <v>1360.2599999999948</v>
      </c>
      <c r="L13" s="4">
        <f t="shared" si="1"/>
        <v>0.99278826866790404</v>
      </c>
      <c r="M13" s="4">
        <f t="shared" si="2"/>
        <v>-7.2117313320957475E-3</v>
      </c>
      <c r="N13" s="4">
        <f t="shared" si="3"/>
        <v>1.9185131882443498E-2</v>
      </c>
    </row>
    <row r="14" spans="1:14" x14ac:dyDescent="0.35">
      <c r="A14">
        <v>2024</v>
      </c>
      <c r="B14" t="s">
        <v>10</v>
      </c>
      <c r="C14" t="s">
        <v>16</v>
      </c>
      <c r="D14" t="s">
        <v>20</v>
      </c>
      <c r="E14" t="s">
        <v>24</v>
      </c>
      <c r="F14">
        <v>1</v>
      </c>
      <c r="G14" s="2">
        <v>93664.65</v>
      </c>
      <c r="H14" s="2">
        <v>99038.18</v>
      </c>
      <c r="I14" s="3">
        <v>105900.34</v>
      </c>
      <c r="J14" s="2">
        <v>12235.69</v>
      </c>
      <c r="K14" s="2">
        <f t="shared" si="0"/>
        <v>6862.1600000000035</v>
      </c>
      <c r="L14" s="4">
        <f t="shared" si="1"/>
        <v>1.1306329549088157</v>
      </c>
      <c r="M14" s="4">
        <f t="shared" si="2"/>
        <v>0.13063295490881566</v>
      </c>
      <c r="N14" s="4">
        <f t="shared" si="3"/>
        <v>6.9288026092563529E-2</v>
      </c>
    </row>
    <row r="15" spans="1:14" x14ac:dyDescent="0.35">
      <c r="A15">
        <v>2024</v>
      </c>
      <c r="B15" t="s">
        <v>10</v>
      </c>
      <c r="C15" t="s">
        <v>16</v>
      </c>
      <c r="D15" t="s">
        <v>20</v>
      </c>
      <c r="E15" t="s">
        <v>24</v>
      </c>
      <c r="F15">
        <v>2</v>
      </c>
      <c r="G15" s="2">
        <v>115140.75</v>
      </c>
      <c r="H15" s="2">
        <v>115151.74</v>
      </c>
      <c r="I15" s="3">
        <v>124609.39</v>
      </c>
      <c r="J15" s="2">
        <v>9468.64</v>
      </c>
      <c r="K15" s="2">
        <f t="shared" si="0"/>
        <v>9457.6499999999942</v>
      </c>
      <c r="L15" s="4">
        <f t="shared" si="1"/>
        <v>1.0822353510811766</v>
      </c>
      <c r="M15" s="4">
        <f t="shared" si="2"/>
        <v>8.223535108117673E-2</v>
      </c>
      <c r="N15" s="4">
        <f t="shared" si="3"/>
        <v>8.2132063310550008E-2</v>
      </c>
    </row>
    <row r="16" spans="1:14" x14ac:dyDescent="0.35">
      <c r="A16">
        <v>2024</v>
      </c>
      <c r="B16" t="s">
        <v>10</v>
      </c>
      <c r="C16" t="s">
        <v>16</v>
      </c>
      <c r="D16" t="s">
        <v>20</v>
      </c>
      <c r="E16" t="s">
        <v>24</v>
      </c>
      <c r="F16">
        <v>3</v>
      </c>
      <c r="G16" s="2">
        <v>73898.42</v>
      </c>
      <c r="H16" s="2">
        <v>73799.149999999994</v>
      </c>
      <c r="I16" s="3">
        <v>78992.61</v>
      </c>
      <c r="J16" s="2">
        <v>5094.1899999999996</v>
      </c>
      <c r="K16" s="2">
        <f t="shared" si="0"/>
        <v>5193.4600000000064</v>
      </c>
      <c r="L16" s="4">
        <f t="shared" si="1"/>
        <v>1.0689350327111189</v>
      </c>
      <c r="M16" s="4">
        <f t="shared" si="2"/>
        <v>6.8935032711118852E-2</v>
      </c>
      <c r="N16" s="4">
        <f t="shared" si="3"/>
        <v>7.0372897248816638E-2</v>
      </c>
    </row>
    <row r="17" spans="1:14" x14ac:dyDescent="0.35">
      <c r="A17">
        <v>2024</v>
      </c>
      <c r="B17" t="s">
        <v>10</v>
      </c>
      <c r="C17" t="s">
        <v>16</v>
      </c>
      <c r="D17" t="s">
        <v>20</v>
      </c>
      <c r="E17" t="s">
        <v>24</v>
      </c>
      <c r="F17">
        <v>4</v>
      </c>
      <c r="G17" s="2">
        <v>46637.67</v>
      </c>
      <c r="H17" s="2">
        <v>49635.65</v>
      </c>
      <c r="I17" s="3">
        <v>46802.25</v>
      </c>
      <c r="J17" s="2">
        <v>164.58</v>
      </c>
      <c r="K17" s="2">
        <f t="shared" si="0"/>
        <v>-2833.4000000000015</v>
      </c>
      <c r="L17" s="4">
        <f t="shared" si="1"/>
        <v>1.0035289069972835</v>
      </c>
      <c r="M17" s="4">
        <f t="shared" si="2"/>
        <v>3.5289069972835267E-3</v>
      </c>
      <c r="N17" s="4">
        <f t="shared" si="3"/>
        <v>-5.7083970895918587E-2</v>
      </c>
    </row>
    <row r="18" spans="1:14" x14ac:dyDescent="0.35">
      <c r="A18">
        <v>2024</v>
      </c>
      <c r="B18" t="s">
        <v>0</v>
      </c>
      <c r="C18" t="s">
        <v>17</v>
      </c>
      <c r="D18" t="s">
        <v>20</v>
      </c>
      <c r="E18" t="s">
        <v>24</v>
      </c>
      <c r="F18">
        <v>1</v>
      </c>
      <c r="G18" s="2">
        <v>44332.15</v>
      </c>
      <c r="H18" s="2">
        <v>41613.82</v>
      </c>
      <c r="I18" s="3">
        <v>38572.49</v>
      </c>
      <c r="J18" s="2">
        <v>-5759.66</v>
      </c>
      <c r="K18" s="2">
        <f t="shared" si="0"/>
        <v>-3041.3300000000017</v>
      </c>
      <c r="L18" s="4">
        <f t="shared" si="1"/>
        <v>0.87007938933708373</v>
      </c>
      <c r="M18" s="4">
        <f t="shared" si="2"/>
        <v>-0.12992061066291619</v>
      </c>
      <c r="N18" s="4">
        <f t="shared" si="3"/>
        <v>-7.3084614678489063E-2</v>
      </c>
    </row>
    <row r="19" spans="1:14" x14ac:dyDescent="0.35">
      <c r="A19">
        <v>2024</v>
      </c>
      <c r="B19" t="s">
        <v>0</v>
      </c>
      <c r="C19" t="s">
        <v>17</v>
      </c>
      <c r="D19" t="s">
        <v>20</v>
      </c>
      <c r="E19" t="s">
        <v>24</v>
      </c>
      <c r="F19">
        <v>2</v>
      </c>
      <c r="G19" s="2">
        <v>112743.3</v>
      </c>
      <c r="H19" s="2">
        <v>119526.72</v>
      </c>
      <c r="I19" s="3">
        <v>125960.5</v>
      </c>
      <c r="J19" s="2">
        <v>13217.2</v>
      </c>
      <c r="K19" s="2">
        <f t="shared" si="0"/>
        <v>6433.7799999999988</v>
      </c>
      <c r="L19" s="4">
        <f t="shared" si="1"/>
        <v>1.1172326869978082</v>
      </c>
      <c r="M19" s="4">
        <f t="shared" si="2"/>
        <v>0.1172326869978083</v>
      </c>
      <c r="N19" s="4">
        <f t="shared" si="3"/>
        <v>5.3827127524289121E-2</v>
      </c>
    </row>
    <row r="20" spans="1:14" x14ac:dyDescent="0.35">
      <c r="A20">
        <v>2024</v>
      </c>
      <c r="B20" t="s">
        <v>0</v>
      </c>
      <c r="C20" t="s">
        <v>17</v>
      </c>
      <c r="D20" t="s">
        <v>20</v>
      </c>
      <c r="E20" t="s">
        <v>24</v>
      </c>
      <c r="F20">
        <v>3</v>
      </c>
      <c r="G20" s="2">
        <v>141475.81</v>
      </c>
      <c r="H20" s="2">
        <v>133345.42000000001</v>
      </c>
      <c r="I20" s="3">
        <v>140285.03</v>
      </c>
      <c r="J20" s="2">
        <v>-1190.78</v>
      </c>
      <c r="K20" s="2">
        <f t="shared" si="0"/>
        <v>6939.609999999986</v>
      </c>
      <c r="L20" s="4">
        <f t="shared" si="1"/>
        <v>0.99158315474567704</v>
      </c>
      <c r="M20" s="4">
        <f t="shared" si="2"/>
        <v>-8.416845254322982E-3</v>
      </c>
      <c r="N20" s="4">
        <f t="shared" si="3"/>
        <v>5.2042357360305179E-2</v>
      </c>
    </row>
    <row r="21" spans="1:14" x14ac:dyDescent="0.35">
      <c r="A21">
        <v>2024</v>
      </c>
      <c r="B21" t="s">
        <v>0</v>
      </c>
      <c r="C21" t="s">
        <v>17</v>
      </c>
      <c r="D21" t="s">
        <v>20</v>
      </c>
      <c r="E21" t="s">
        <v>24</v>
      </c>
      <c r="F21">
        <v>4</v>
      </c>
      <c r="G21" s="2">
        <v>102519.44</v>
      </c>
      <c r="H21" s="2">
        <v>107453.3</v>
      </c>
      <c r="I21" s="3">
        <v>115251.53</v>
      </c>
      <c r="J21" s="2">
        <v>12732.09</v>
      </c>
      <c r="K21" s="2">
        <f t="shared" si="0"/>
        <v>7798.2299999999959</v>
      </c>
      <c r="L21" s="4">
        <f t="shared" si="1"/>
        <v>1.1241919581300872</v>
      </c>
      <c r="M21" s="4">
        <f t="shared" si="2"/>
        <v>0.12419195813008732</v>
      </c>
      <c r="N21" s="4">
        <f t="shared" si="3"/>
        <v>7.2573201567564666E-2</v>
      </c>
    </row>
    <row r="22" spans="1:14" x14ac:dyDescent="0.35">
      <c r="A22">
        <v>2024</v>
      </c>
      <c r="B22" t="s">
        <v>11</v>
      </c>
      <c r="C22" t="s">
        <v>18</v>
      </c>
      <c r="D22" t="s">
        <v>20</v>
      </c>
      <c r="E22" t="s">
        <v>23</v>
      </c>
      <c r="F22">
        <v>1</v>
      </c>
      <c r="G22" s="2">
        <v>100318.84</v>
      </c>
      <c r="H22" s="2">
        <v>99411.77</v>
      </c>
      <c r="I22" s="3">
        <v>102349.27</v>
      </c>
      <c r="J22" s="2">
        <v>2030.43</v>
      </c>
      <c r="K22" s="2">
        <f t="shared" si="0"/>
        <v>2937.5</v>
      </c>
      <c r="L22" s="4">
        <f t="shared" si="1"/>
        <v>1.0202397675252226</v>
      </c>
      <c r="M22" s="4">
        <f t="shared" si="2"/>
        <v>2.0239767525222583E-2</v>
      </c>
      <c r="N22" s="4">
        <f t="shared" si="3"/>
        <v>2.9548814994441803E-2</v>
      </c>
    </row>
    <row r="23" spans="1:14" x14ac:dyDescent="0.35">
      <c r="A23">
        <v>2024</v>
      </c>
      <c r="B23" t="s">
        <v>11</v>
      </c>
      <c r="C23" t="s">
        <v>18</v>
      </c>
      <c r="D23" t="s">
        <v>20</v>
      </c>
      <c r="E23" t="s">
        <v>23</v>
      </c>
      <c r="F23">
        <v>2</v>
      </c>
      <c r="G23" s="2">
        <v>51361.43</v>
      </c>
      <c r="H23" s="2">
        <v>49600.67</v>
      </c>
      <c r="I23" s="3">
        <v>50515.69</v>
      </c>
      <c r="J23" s="2">
        <v>-845.74</v>
      </c>
      <c r="K23" s="2">
        <f t="shared" si="0"/>
        <v>915.02000000000407</v>
      </c>
      <c r="L23" s="4">
        <f t="shared" si="1"/>
        <v>0.9835335581583301</v>
      </c>
      <c r="M23" s="4">
        <f t="shared" si="2"/>
        <v>-1.6466441841669906E-2</v>
      </c>
      <c r="N23" s="4">
        <f t="shared" si="3"/>
        <v>1.8447734677777623E-2</v>
      </c>
    </row>
    <row r="24" spans="1:14" x14ac:dyDescent="0.35">
      <c r="A24">
        <v>2024</v>
      </c>
      <c r="B24" t="s">
        <v>11</v>
      </c>
      <c r="C24" t="s">
        <v>18</v>
      </c>
      <c r="D24" t="s">
        <v>20</v>
      </c>
      <c r="E24" t="s">
        <v>23</v>
      </c>
      <c r="F24">
        <v>3</v>
      </c>
      <c r="G24" s="2">
        <v>29263.69</v>
      </c>
      <c r="H24" s="2">
        <v>28094.51</v>
      </c>
      <c r="I24" s="3">
        <v>28496.35</v>
      </c>
      <c r="J24" s="2">
        <v>-767.34</v>
      </c>
      <c r="K24" s="2">
        <f t="shared" si="0"/>
        <v>401.84000000000015</v>
      </c>
      <c r="L24" s="4">
        <f t="shared" si="1"/>
        <v>0.97377842643904444</v>
      </c>
      <c r="M24" s="4">
        <f t="shared" si="2"/>
        <v>-2.6221573560955575E-2</v>
      </c>
      <c r="N24" s="4">
        <f t="shared" si="3"/>
        <v>1.4303150330794172E-2</v>
      </c>
    </row>
    <row r="25" spans="1:14" x14ac:dyDescent="0.35">
      <c r="A25">
        <v>2024</v>
      </c>
      <c r="B25" t="s">
        <v>11</v>
      </c>
      <c r="C25" t="s">
        <v>18</v>
      </c>
      <c r="D25" t="s">
        <v>20</v>
      </c>
      <c r="E25" t="s">
        <v>23</v>
      </c>
      <c r="F25">
        <v>4</v>
      </c>
      <c r="G25" s="2">
        <v>146937.60999999999</v>
      </c>
      <c r="H25" s="2">
        <v>139057.76</v>
      </c>
      <c r="I25" s="3">
        <v>147123.70000000001</v>
      </c>
      <c r="J25" s="2">
        <v>186.09</v>
      </c>
      <c r="K25" s="2">
        <f t="shared" si="0"/>
        <v>8065.9400000000023</v>
      </c>
      <c r="L25" s="4">
        <f t="shared" si="1"/>
        <v>1.0012664558787912</v>
      </c>
      <c r="M25" s="4">
        <f t="shared" si="2"/>
        <v>1.2664558787910053E-3</v>
      </c>
      <c r="N25" s="4">
        <f t="shared" si="3"/>
        <v>5.8004242265947629E-2</v>
      </c>
    </row>
    <row r="26" spans="1:14" x14ac:dyDescent="0.35">
      <c r="A26">
        <v>2025</v>
      </c>
      <c r="B26" t="s">
        <v>7</v>
      </c>
      <c r="C26" t="s">
        <v>13</v>
      </c>
      <c r="D26" t="s">
        <v>20</v>
      </c>
      <c r="E26" t="s">
        <v>23</v>
      </c>
      <c r="F26">
        <v>1</v>
      </c>
      <c r="G26" s="2">
        <v>70700.52</v>
      </c>
      <c r="H26" s="2">
        <v>71487.460000000006</v>
      </c>
      <c r="I26" s="3">
        <v>70006.17</v>
      </c>
      <c r="J26" s="2">
        <v>-694.35</v>
      </c>
      <c r="K26" s="2">
        <f t="shared" si="0"/>
        <v>-1481.2900000000081</v>
      </c>
      <c r="L26" s="4">
        <f t="shared" si="1"/>
        <v>0.99017899726904401</v>
      </c>
      <c r="M26" s="4">
        <f t="shared" si="2"/>
        <v>-9.8210027309558676E-3</v>
      </c>
      <c r="N26" s="4">
        <f t="shared" si="3"/>
        <v>-2.0720976797888861E-2</v>
      </c>
    </row>
    <row r="27" spans="1:14" x14ac:dyDescent="0.35">
      <c r="A27">
        <v>2025</v>
      </c>
      <c r="B27" t="s">
        <v>7</v>
      </c>
      <c r="C27" t="s">
        <v>13</v>
      </c>
      <c r="D27" t="s">
        <v>20</v>
      </c>
      <c r="E27" t="s">
        <v>23</v>
      </c>
      <c r="F27">
        <v>2</v>
      </c>
      <c r="G27" s="2">
        <v>61495.92</v>
      </c>
      <c r="H27" s="2">
        <v>56931.54</v>
      </c>
      <c r="I27" s="3">
        <v>61359.25</v>
      </c>
      <c r="J27" s="2">
        <v>-136.66999999999999</v>
      </c>
      <c r="K27" s="2">
        <f t="shared" si="0"/>
        <v>4427.7099999999991</v>
      </c>
      <c r="L27" s="4">
        <f t="shared" si="1"/>
        <v>0.99777757613838447</v>
      </c>
      <c r="M27" s="4">
        <f t="shared" si="2"/>
        <v>-2.2224238616155348E-3</v>
      </c>
      <c r="N27" s="4">
        <f t="shared" si="3"/>
        <v>7.7772531710893447E-2</v>
      </c>
    </row>
    <row r="28" spans="1:14" x14ac:dyDescent="0.35">
      <c r="A28">
        <v>2025</v>
      </c>
      <c r="B28" t="s">
        <v>7</v>
      </c>
      <c r="C28" t="s">
        <v>13</v>
      </c>
      <c r="D28" t="s">
        <v>20</v>
      </c>
      <c r="E28" t="s">
        <v>23</v>
      </c>
      <c r="F28">
        <v>3</v>
      </c>
      <c r="G28" s="2">
        <v>55254.78</v>
      </c>
      <c r="H28" s="2">
        <v>57681.72</v>
      </c>
      <c r="I28" s="3">
        <v>57575</v>
      </c>
      <c r="J28" s="2">
        <v>2320.2199999999998</v>
      </c>
      <c r="K28" s="2">
        <f t="shared" si="0"/>
        <v>-106.72000000000116</v>
      </c>
      <c r="L28" s="4">
        <f t="shared" si="1"/>
        <v>1.0419912992142943</v>
      </c>
      <c r="M28" s="4">
        <f t="shared" si="2"/>
        <v>4.1991299214294217E-2</v>
      </c>
      <c r="N28" s="4">
        <f t="shared" si="3"/>
        <v>-1.8501528733886777E-3</v>
      </c>
    </row>
    <row r="29" spans="1:14" x14ac:dyDescent="0.35">
      <c r="A29">
        <v>2025</v>
      </c>
      <c r="B29" t="s">
        <v>7</v>
      </c>
      <c r="C29" t="s">
        <v>13</v>
      </c>
      <c r="D29" t="s">
        <v>20</v>
      </c>
      <c r="E29" t="s">
        <v>23</v>
      </c>
      <c r="F29">
        <v>4</v>
      </c>
      <c r="G29" s="2">
        <v>124523.7</v>
      </c>
      <c r="H29" s="2">
        <v>112740.47</v>
      </c>
      <c r="I29" s="3">
        <v>118711.72</v>
      </c>
      <c r="J29" s="2">
        <v>-5811.98</v>
      </c>
      <c r="K29" s="2">
        <f t="shared" si="0"/>
        <v>5971.25</v>
      </c>
      <c r="L29" s="4">
        <f t="shared" si="1"/>
        <v>0.95332631458911032</v>
      </c>
      <c r="M29" s="4">
        <f t="shared" si="2"/>
        <v>-4.6673685410889648E-2</v>
      </c>
      <c r="N29" s="4">
        <f t="shared" si="3"/>
        <v>5.2964565430674536E-2</v>
      </c>
    </row>
    <row r="30" spans="1:14" x14ac:dyDescent="0.35">
      <c r="A30">
        <v>2025</v>
      </c>
      <c r="B30" t="s">
        <v>8</v>
      </c>
      <c r="C30" t="s">
        <v>14</v>
      </c>
      <c r="D30" t="s">
        <v>20</v>
      </c>
      <c r="E30" t="s">
        <v>23</v>
      </c>
      <c r="F30">
        <v>1</v>
      </c>
      <c r="G30" s="2">
        <v>81015.75</v>
      </c>
      <c r="H30" s="2">
        <v>81988.100000000006</v>
      </c>
      <c r="I30" s="3">
        <v>86451.22</v>
      </c>
      <c r="J30" s="2">
        <v>5435.47</v>
      </c>
      <c r="K30" s="2">
        <f t="shared" si="0"/>
        <v>4463.1199999999953</v>
      </c>
      <c r="L30" s="4">
        <f t="shared" si="1"/>
        <v>1.0670915223274486</v>
      </c>
      <c r="M30" s="4">
        <f t="shared" si="2"/>
        <v>6.709152232744868E-2</v>
      </c>
      <c r="N30" s="4">
        <f t="shared" si="3"/>
        <v>5.4436192569409403E-2</v>
      </c>
    </row>
    <row r="31" spans="1:14" x14ac:dyDescent="0.35">
      <c r="A31">
        <v>2025</v>
      </c>
      <c r="B31" t="s">
        <v>8</v>
      </c>
      <c r="C31" t="s">
        <v>14</v>
      </c>
      <c r="D31" t="s">
        <v>20</v>
      </c>
      <c r="E31" t="s">
        <v>23</v>
      </c>
      <c r="F31">
        <v>2</v>
      </c>
      <c r="G31" s="2">
        <v>55099.41</v>
      </c>
      <c r="H31" s="2">
        <v>51780.92</v>
      </c>
      <c r="I31" s="3">
        <v>56227.09</v>
      </c>
      <c r="J31" s="2">
        <v>1127.68</v>
      </c>
      <c r="K31" s="2">
        <f t="shared" si="0"/>
        <v>4446.1699999999983</v>
      </c>
      <c r="L31" s="4">
        <f t="shared" si="1"/>
        <v>1.0204662808549128</v>
      </c>
      <c r="M31" s="4">
        <f t="shared" si="2"/>
        <v>2.0466280854912967E-2</v>
      </c>
      <c r="N31" s="4">
        <f t="shared" si="3"/>
        <v>8.5865025186883479E-2</v>
      </c>
    </row>
    <row r="32" spans="1:14" x14ac:dyDescent="0.35">
      <c r="A32">
        <v>2025</v>
      </c>
      <c r="B32" t="s">
        <v>8</v>
      </c>
      <c r="C32" t="s">
        <v>14</v>
      </c>
      <c r="D32" t="s">
        <v>20</v>
      </c>
      <c r="E32" t="s">
        <v>23</v>
      </c>
      <c r="F32">
        <v>3</v>
      </c>
      <c r="G32" s="2">
        <v>120462.05</v>
      </c>
      <c r="H32" s="2">
        <v>127306.15</v>
      </c>
      <c r="I32" s="3">
        <v>128022.17</v>
      </c>
      <c r="J32" s="2">
        <v>7560.12</v>
      </c>
      <c r="K32" s="2">
        <f t="shared" si="0"/>
        <v>716.02000000000407</v>
      </c>
      <c r="L32" s="4">
        <f t="shared" si="1"/>
        <v>1.0627593503514177</v>
      </c>
      <c r="M32" s="4">
        <f t="shared" si="2"/>
        <v>6.275935035141772E-2</v>
      </c>
      <c r="N32" s="4">
        <f t="shared" si="3"/>
        <v>5.624394422421887E-3</v>
      </c>
    </row>
    <row r="33" spans="1:14" x14ac:dyDescent="0.35">
      <c r="A33">
        <v>2025</v>
      </c>
      <c r="B33" t="s">
        <v>8</v>
      </c>
      <c r="C33" t="s">
        <v>14</v>
      </c>
      <c r="D33" t="s">
        <v>20</v>
      </c>
      <c r="E33" t="s">
        <v>23</v>
      </c>
      <c r="F33">
        <v>4</v>
      </c>
      <c r="G33" s="2">
        <v>90267.18</v>
      </c>
      <c r="H33" s="2">
        <v>85027.32</v>
      </c>
      <c r="I33" s="3">
        <v>88147.9</v>
      </c>
      <c r="J33" s="2">
        <v>-2119.2800000000002</v>
      </c>
      <c r="K33" s="2">
        <f t="shared" si="0"/>
        <v>3120.5799999999872</v>
      </c>
      <c r="L33" s="4">
        <f t="shared" si="1"/>
        <v>0.97652214237777235</v>
      </c>
      <c r="M33" s="4">
        <f t="shared" si="2"/>
        <v>-2.3477857622227705E-2</v>
      </c>
      <c r="N33" s="4">
        <f t="shared" si="3"/>
        <v>3.6700909778174674E-2</v>
      </c>
    </row>
    <row r="34" spans="1:14" x14ac:dyDescent="0.35">
      <c r="A34">
        <v>2025</v>
      </c>
      <c r="B34" t="s">
        <v>9</v>
      </c>
      <c r="C34" t="s">
        <v>15</v>
      </c>
      <c r="D34" t="s">
        <v>21</v>
      </c>
      <c r="E34" t="s">
        <v>24</v>
      </c>
      <c r="F34">
        <v>1</v>
      </c>
      <c r="G34" s="2">
        <v>116604.87</v>
      </c>
      <c r="H34" s="2">
        <v>125973.73</v>
      </c>
      <c r="I34" s="3">
        <v>128463.24</v>
      </c>
      <c r="J34" s="2">
        <v>11858.37</v>
      </c>
      <c r="K34" s="2">
        <f t="shared" si="0"/>
        <v>2489.5100000000093</v>
      </c>
      <c r="L34" s="4">
        <f t="shared" si="1"/>
        <v>1.1016970388972604</v>
      </c>
      <c r="M34" s="4">
        <f t="shared" si="2"/>
        <v>0.10169703889726048</v>
      </c>
      <c r="N34" s="4">
        <f t="shared" si="3"/>
        <v>1.9762136121554943E-2</v>
      </c>
    </row>
    <row r="35" spans="1:14" x14ac:dyDescent="0.35">
      <c r="A35">
        <v>2025</v>
      </c>
      <c r="B35" t="s">
        <v>9</v>
      </c>
      <c r="C35" t="s">
        <v>15</v>
      </c>
      <c r="D35" t="s">
        <v>21</v>
      </c>
      <c r="E35" t="s">
        <v>24</v>
      </c>
      <c r="F35">
        <v>2</v>
      </c>
      <c r="G35" s="2">
        <v>48595.51</v>
      </c>
      <c r="H35" s="2">
        <v>43972.66</v>
      </c>
      <c r="I35" s="3">
        <v>42981.29</v>
      </c>
      <c r="J35" s="2">
        <v>-5614.22</v>
      </c>
      <c r="K35" s="2">
        <f t="shared" si="0"/>
        <v>-991.37000000000262</v>
      </c>
      <c r="L35" s="4">
        <f t="shared" si="1"/>
        <v>0.88447039654486592</v>
      </c>
      <c r="M35" s="4">
        <f t="shared" si="2"/>
        <v>-0.11552960345513402</v>
      </c>
      <c r="N35" s="4">
        <f t="shared" si="3"/>
        <v>-2.2545145096976225E-2</v>
      </c>
    </row>
    <row r="36" spans="1:14" x14ac:dyDescent="0.35">
      <c r="A36">
        <v>2025</v>
      </c>
      <c r="B36" t="s">
        <v>9</v>
      </c>
      <c r="C36" t="s">
        <v>15</v>
      </c>
      <c r="D36" t="s">
        <v>21</v>
      </c>
      <c r="E36" t="s">
        <v>24</v>
      </c>
      <c r="F36">
        <v>3</v>
      </c>
      <c r="G36" s="2">
        <v>28599.200000000001</v>
      </c>
      <c r="H36" s="2">
        <v>28718.48</v>
      </c>
      <c r="I36" s="3">
        <v>30923.94</v>
      </c>
      <c r="J36" s="2">
        <v>2324.7399999999998</v>
      </c>
      <c r="K36" s="2">
        <f t="shared" si="0"/>
        <v>2205.4599999999991</v>
      </c>
      <c r="L36" s="4">
        <f t="shared" si="1"/>
        <v>1.0812868891437522</v>
      </c>
      <c r="M36" s="4">
        <f t="shared" si="2"/>
        <v>8.1286889143752261E-2</v>
      </c>
      <c r="N36" s="4">
        <f t="shared" si="3"/>
        <v>7.6795847133970849E-2</v>
      </c>
    </row>
    <row r="37" spans="1:14" x14ac:dyDescent="0.35">
      <c r="A37">
        <v>2025</v>
      </c>
      <c r="B37" t="s">
        <v>9</v>
      </c>
      <c r="C37" t="s">
        <v>15</v>
      </c>
      <c r="D37" t="s">
        <v>21</v>
      </c>
      <c r="E37" t="s">
        <v>24</v>
      </c>
      <c r="F37">
        <v>4</v>
      </c>
      <c r="G37" s="2">
        <v>42077.120000000003</v>
      </c>
      <c r="H37" s="2">
        <v>39403.9</v>
      </c>
      <c r="I37" s="3">
        <v>39330.25</v>
      </c>
      <c r="J37" s="2">
        <v>-2746.87</v>
      </c>
      <c r="K37" s="2">
        <f t="shared" si="0"/>
        <v>-73.650000000001455</v>
      </c>
      <c r="L37" s="4">
        <f t="shared" si="1"/>
        <v>0.9347182031469834</v>
      </c>
      <c r="M37" s="4">
        <f t="shared" si="2"/>
        <v>-6.5281796853016549E-2</v>
      </c>
      <c r="N37" s="4">
        <f t="shared" si="3"/>
        <v>-1.869104327236681E-3</v>
      </c>
    </row>
    <row r="38" spans="1:14" x14ac:dyDescent="0.35">
      <c r="A38">
        <v>2025</v>
      </c>
      <c r="B38" t="s">
        <v>10</v>
      </c>
      <c r="C38" t="s">
        <v>16</v>
      </c>
      <c r="D38" t="s">
        <v>20</v>
      </c>
      <c r="E38" t="s">
        <v>24</v>
      </c>
      <c r="F38">
        <v>1</v>
      </c>
      <c r="G38" s="2">
        <v>89482.9</v>
      </c>
      <c r="H38" s="2">
        <v>97911.07</v>
      </c>
      <c r="I38" s="3">
        <v>98559.24</v>
      </c>
      <c r="J38" s="2">
        <v>9076.34</v>
      </c>
      <c r="K38" s="2">
        <f t="shared" si="0"/>
        <v>648.16999999999825</v>
      </c>
      <c r="L38" s="4">
        <f t="shared" si="1"/>
        <v>1.101430999665858</v>
      </c>
      <c r="M38" s="4">
        <f t="shared" si="2"/>
        <v>0.10143099966585796</v>
      </c>
      <c r="N38" s="4">
        <f t="shared" si="3"/>
        <v>6.6199868921869428E-3</v>
      </c>
    </row>
    <row r="39" spans="1:14" x14ac:dyDescent="0.35">
      <c r="A39">
        <v>2025</v>
      </c>
      <c r="B39" t="s">
        <v>10</v>
      </c>
      <c r="C39" t="s">
        <v>16</v>
      </c>
      <c r="D39" t="s">
        <v>20</v>
      </c>
      <c r="E39" t="s">
        <v>24</v>
      </c>
      <c r="F39">
        <v>2</v>
      </c>
      <c r="G39" s="2">
        <v>66730.62</v>
      </c>
      <c r="H39" s="2">
        <v>63717.279999999999</v>
      </c>
      <c r="I39" s="3">
        <v>67871.69</v>
      </c>
      <c r="J39" s="2">
        <v>1141.07</v>
      </c>
      <c r="K39" s="2">
        <f t="shared" si="0"/>
        <v>4154.4100000000035</v>
      </c>
      <c r="L39" s="4">
        <f t="shared" si="1"/>
        <v>1.0170996463092956</v>
      </c>
      <c r="M39" s="4">
        <f t="shared" si="2"/>
        <v>1.7099646309295492E-2</v>
      </c>
      <c r="N39" s="4">
        <f t="shared" si="3"/>
        <v>6.5200680255026636E-2</v>
      </c>
    </row>
    <row r="40" spans="1:14" x14ac:dyDescent="0.35">
      <c r="A40">
        <v>2025</v>
      </c>
      <c r="B40" t="s">
        <v>10</v>
      </c>
      <c r="C40" t="s">
        <v>16</v>
      </c>
      <c r="D40" t="s">
        <v>20</v>
      </c>
      <c r="E40" t="s">
        <v>24</v>
      </c>
      <c r="F40">
        <v>3</v>
      </c>
      <c r="G40" s="2">
        <v>127969.04</v>
      </c>
      <c r="H40" s="2">
        <v>117894.18</v>
      </c>
      <c r="I40" s="3">
        <v>115938.14</v>
      </c>
      <c r="J40" s="2">
        <v>-12030.9</v>
      </c>
      <c r="K40" s="2">
        <f t="shared" si="0"/>
        <v>-1956.0399999999936</v>
      </c>
      <c r="L40" s="4">
        <f t="shared" si="1"/>
        <v>0.90598585407845522</v>
      </c>
      <c r="M40" s="4">
        <f t="shared" si="2"/>
        <v>-9.4014145921544778E-2</v>
      </c>
      <c r="N40" s="4">
        <f t="shared" si="3"/>
        <v>-1.6591489079443904E-2</v>
      </c>
    </row>
    <row r="41" spans="1:14" x14ac:dyDescent="0.35">
      <c r="A41">
        <v>2025</v>
      </c>
      <c r="B41" t="s">
        <v>10</v>
      </c>
      <c r="C41" t="s">
        <v>16</v>
      </c>
      <c r="D41" t="s">
        <v>20</v>
      </c>
      <c r="E41" t="s">
        <v>24</v>
      </c>
      <c r="F41">
        <v>4</v>
      </c>
      <c r="G41" s="2">
        <v>98859.83</v>
      </c>
      <c r="H41" s="2">
        <v>100730.21</v>
      </c>
      <c r="I41" s="3">
        <v>97863.73</v>
      </c>
      <c r="J41" s="2">
        <v>-996.1</v>
      </c>
      <c r="K41" s="2">
        <f t="shared" si="0"/>
        <v>-2866.4800000000105</v>
      </c>
      <c r="L41" s="4">
        <f t="shared" si="1"/>
        <v>0.98992411781408074</v>
      </c>
      <c r="M41" s="4">
        <f t="shared" si="2"/>
        <v>-1.0075882185919195E-2</v>
      </c>
      <c r="N41" s="4">
        <f t="shared" si="3"/>
        <v>-2.8457004110286382E-2</v>
      </c>
    </row>
    <row r="42" spans="1:14" x14ac:dyDescent="0.35">
      <c r="A42">
        <v>2025</v>
      </c>
      <c r="B42" t="s">
        <v>0</v>
      </c>
      <c r="C42" t="s">
        <v>17</v>
      </c>
      <c r="D42" t="s">
        <v>20</v>
      </c>
      <c r="E42" t="s">
        <v>24</v>
      </c>
      <c r="F42">
        <v>1</v>
      </c>
      <c r="G42" s="2">
        <v>75571.7</v>
      </c>
      <c r="H42" s="2">
        <v>80720.77</v>
      </c>
      <c r="I42" s="3">
        <v>86587.65</v>
      </c>
      <c r="J42" s="2">
        <v>11015.95</v>
      </c>
      <c r="K42" s="2">
        <f t="shared" si="0"/>
        <v>5866.8799999999901</v>
      </c>
      <c r="L42" s="4">
        <f t="shared" si="1"/>
        <v>1.1457681910027167</v>
      </c>
      <c r="M42" s="4">
        <f t="shared" si="2"/>
        <v>0.14576819100271665</v>
      </c>
      <c r="N42" s="4">
        <f t="shared" si="3"/>
        <v>7.2681169914508861E-2</v>
      </c>
    </row>
    <row r="43" spans="1:14" x14ac:dyDescent="0.35">
      <c r="A43">
        <v>2025</v>
      </c>
      <c r="B43" t="s">
        <v>0</v>
      </c>
      <c r="C43" t="s">
        <v>17</v>
      </c>
      <c r="D43" t="s">
        <v>20</v>
      </c>
      <c r="E43" t="s">
        <v>24</v>
      </c>
      <c r="F43">
        <v>2</v>
      </c>
      <c r="G43" s="2">
        <v>130984.44</v>
      </c>
      <c r="H43" s="2">
        <v>142175.37</v>
      </c>
      <c r="I43" s="3">
        <v>145492.07</v>
      </c>
      <c r="J43" s="2">
        <v>14507.63</v>
      </c>
      <c r="K43" s="2">
        <f t="shared" si="0"/>
        <v>3316.7000000000116</v>
      </c>
      <c r="L43" s="4">
        <f t="shared" si="1"/>
        <v>1.1107584229088585</v>
      </c>
      <c r="M43" s="4">
        <f t="shared" si="2"/>
        <v>0.11075842290885848</v>
      </c>
      <c r="N43" s="4">
        <f t="shared" si="3"/>
        <v>2.3328231887140592E-2</v>
      </c>
    </row>
    <row r="44" spans="1:14" x14ac:dyDescent="0.35">
      <c r="A44">
        <v>2025</v>
      </c>
      <c r="B44" t="s">
        <v>0</v>
      </c>
      <c r="C44" t="s">
        <v>17</v>
      </c>
      <c r="D44" t="s">
        <v>20</v>
      </c>
      <c r="E44" t="s">
        <v>24</v>
      </c>
      <c r="F44">
        <v>3</v>
      </c>
      <c r="G44" s="2">
        <v>89085.04</v>
      </c>
      <c r="H44" s="2">
        <v>89296.12</v>
      </c>
      <c r="I44" s="3">
        <v>88359.56</v>
      </c>
      <c r="J44" s="2">
        <v>-725.48</v>
      </c>
      <c r="K44" s="2">
        <f t="shared" si="0"/>
        <v>-936.55999999999767</v>
      </c>
      <c r="L44" s="4">
        <f t="shared" si="1"/>
        <v>0.99185632065720575</v>
      </c>
      <c r="M44" s="4">
        <f t="shared" si="2"/>
        <v>-8.1436793427942574E-3</v>
      </c>
      <c r="N44" s="4">
        <f t="shared" si="3"/>
        <v>-1.0488249657431899E-2</v>
      </c>
    </row>
    <row r="45" spans="1:14" x14ac:dyDescent="0.35">
      <c r="A45">
        <v>2025</v>
      </c>
      <c r="B45" t="s">
        <v>0</v>
      </c>
      <c r="C45" t="s">
        <v>17</v>
      </c>
      <c r="D45" t="s">
        <v>20</v>
      </c>
      <c r="E45" t="s">
        <v>24</v>
      </c>
      <c r="F45">
        <v>4</v>
      </c>
      <c r="G45" s="2">
        <v>116081.08</v>
      </c>
      <c r="H45" s="2">
        <v>119772.47</v>
      </c>
      <c r="I45" s="3">
        <v>112381.38</v>
      </c>
      <c r="J45" s="2">
        <v>-3699.7</v>
      </c>
      <c r="K45" s="2">
        <f t="shared" si="0"/>
        <v>-7391.0899999999965</v>
      </c>
      <c r="L45" s="4">
        <f t="shared" si="1"/>
        <v>0.96812831169386093</v>
      </c>
      <c r="M45" s="4">
        <f t="shared" si="2"/>
        <v>-3.1871688306139123E-2</v>
      </c>
      <c r="N45" s="4">
        <f t="shared" si="3"/>
        <v>-6.1709422874889334E-2</v>
      </c>
    </row>
    <row r="46" spans="1:14" x14ac:dyDescent="0.35">
      <c r="A46">
        <v>2025</v>
      </c>
      <c r="B46" t="s">
        <v>11</v>
      </c>
      <c r="C46" t="s">
        <v>18</v>
      </c>
      <c r="D46" t="s">
        <v>20</v>
      </c>
      <c r="E46" t="s">
        <v>23</v>
      </c>
      <c r="F46">
        <v>1</v>
      </c>
      <c r="G46" s="2">
        <v>64640.45</v>
      </c>
      <c r="H46" s="2">
        <v>70051.16</v>
      </c>
      <c r="I46" s="3">
        <v>66350.81</v>
      </c>
      <c r="J46" s="2">
        <v>1710.36</v>
      </c>
      <c r="K46" s="2">
        <f t="shared" si="0"/>
        <v>-3700.3500000000058</v>
      </c>
      <c r="L46" s="4">
        <f t="shared" si="1"/>
        <v>1.0264595930257292</v>
      </c>
      <c r="M46" s="4">
        <f t="shared" si="2"/>
        <v>2.6459593025729245E-2</v>
      </c>
      <c r="N46" s="4">
        <f t="shared" si="3"/>
        <v>-5.2823536398255301E-2</v>
      </c>
    </row>
    <row r="47" spans="1:14" x14ac:dyDescent="0.35">
      <c r="A47">
        <v>2025</v>
      </c>
      <c r="B47" t="s">
        <v>11</v>
      </c>
      <c r="C47" t="s">
        <v>18</v>
      </c>
      <c r="D47" t="s">
        <v>20</v>
      </c>
      <c r="E47" t="s">
        <v>23</v>
      </c>
      <c r="F47">
        <v>2</v>
      </c>
      <c r="G47" s="2">
        <v>21211.21</v>
      </c>
      <c r="H47" s="2">
        <v>22362.69</v>
      </c>
      <c r="I47" s="3">
        <v>22368.41</v>
      </c>
      <c r="J47" s="2">
        <v>1157.2</v>
      </c>
      <c r="K47" s="2">
        <f t="shared" si="0"/>
        <v>5.7200000000011642</v>
      </c>
      <c r="L47" s="4">
        <f t="shared" si="1"/>
        <v>1.0545560578580855</v>
      </c>
      <c r="M47" s="4">
        <f t="shared" si="2"/>
        <v>5.455605785808542E-2</v>
      </c>
      <c r="N47" s="4">
        <f t="shared" si="3"/>
        <v>2.5578318171924597E-4</v>
      </c>
    </row>
    <row r="48" spans="1:14" x14ac:dyDescent="0.35">
      <c r="A48">
        <v>2025</v>
      </c>
      <c r="B48" t="s">
        <v>11</v>
      </c>
      <c r="C48" t="s">
        <v>18</v>
      </c>
      <c r="D48" t="s">
        <v>20</v>
      </c>
      <c r="E48" t="s">
        <v>23</v>
      </c>
      <c r="F48">
        <v>3</v>
      </c>
      <c r="G48" s="2">
        <v>37532.769999999997</v>
      </c>
      <c r="H48" s="2">
        <v>38564.660000000003</v>
      </c>
      <c r="I48" s="3">
        <v>37139</v>
      </c>
      <c r="J48" s="2">
        <v>-393.77</v>
      </c>
      <c r="K48" s="2">
        <f t="shared" si="0"/>
        <v>-1425.6600000000035</v>
      </c>
      <c r="L48" s="4">
        <f t="shared" si="1"/>
        <v>0.98950863472107187</v>
      </c>
      <c r="M48" s="4">
        <f t="shared" si="2"/>
        <v>-1.0491365278928255E-2</v>
      </c>
      <c r="N48" s="4">
        <f t="shared" si="3"/>
        <v>-3.6968042762467068E-2</v>
      </c>
    </row>
    <row r="49" spans="1:14" x14ac:dyDescent="0.35">
      <c r="A49">
        <v>2025</v>
      </c>
      <c r="B49" t="s">
        <v>11</v>
      </c>
      <c r="C49" t="s">
        <v>18</v>
      </c>
      <c r="D49" t="s">
        <v>20</v>
      </c>
      <c r="E49" t="s">
        <v>23</v>
      </c>
      <c r="F49">
        <v>4</v>
      </c>
      <c r="G49" s="2">
        <v>28580.31</v>
      </c>
      <c r="H49" s="2">
        <v>29613.63</v>
      </c>
      <c r="I49" s="3">
        <v>28551.84</v>
      </c>
      <c r="J49" s="2">
        <v>-28.47</v>
      </c>
      <c r="K49" s="2">
        <f t="shared" si="0"/>
        <v>-1061.7900000000009</v>
      </c>
      <c r="L49" s="4">
        <f t="shared" si="1"/>
        <v>0.99900385965022764</v>
      </c>
      <c r="M49" s="4">
        <f t="shared" si="2"/>
        <v>-9.9614034977227317E-4</v>
      </c>
      <c r="N49" s="4">
        <f t="shared" si="3"/>
        <v>-3.5854773629575329E-2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Silvanio Gois</cp:lastModifiedBy>
  <dcterms:created xsi:type="dcterms:W3CDTF">2025-06-28T04:56:09Z</dcterms:created>
  <dcterms:modified xsi:type="dcterms:W3CDTF">2026-09-17T16:13:18Z</dcterms:modified>
</cp:coreProperties>
</file>